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ri.riga.lv\rv1g\Audzekni\mtomingasa\My Documents\"/>
    </mc:Choice>
  </mc:AlternateContent>
  <xr:revisionPtr revIDLastSave="0" documentId="13_ncr:1_{4F41F3B0-2727-4399-8144-737957B5B2D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6" l="1"/>
  <c r="G6" i="6"/>
  <c r="G7" i="6"/>
  <c r="G5" i="6"/>
  <c r="F6" i="6"/>
  <c r="F7" i="6"/>
  <c r="F8" i="6"/>
  <c r="F5" i="6"/>
  <c r="E6" i="6"/>
  <c r="E7" i="6"/>
  <c r="E8" i="6"/>
  <c r="E5" i="6"/>
  <c r="D6" i="6"/>
  <c r="D7" i="6"/>
  <c r="D8" i="6"/>
  <c r="D5" i="6"/>
  <c r="E5" i="5"/>
  <c r="E6" i="5"/>
  <c r="E7" i="5"/>
  <c r="E8" i="5"/>
  <c r="E9" i="5"/>
  <c r="E10" i="5"/>
  <c r="E11" i="5"/>
  <c r="E12" i="5"/>
  <c r="E13" i="5"/>
  <c r="E14" i="5"/>
  <c r="E15" i="5"/>
  <c r="E4" i="5"/>
  <c r="K10" i="7"/>
  <c r="K11" i="7"/>
  <c r="K12" i="7"/>
  <c r="K13" i="7"/>
  <c r="K14" i="7"/>
  <c r="K15" i="7"/>
  <c r="K16" i="7"/>
  <c r="K17" i="7"/>
  <c r="K18" i="7"/>
  <c r="K9" i="7"/>
  <c r="J10" i="7"/>
  <c r="J11" i="7"/>
  <c r="J12" i="7"/>
  <c r="J13" i="7"/>
  <c r="J14" i="7"/>
  <c r="J15" i="7"/>
  <c r="J16" i="7"/>
  <c r="J17" i="7"/>
  <c r="J18" i="7"/>
  <c r="J9" i="7"/>
  <c r="I10" i="7"/>
  <c r="I11" i="7"/>
  <c r="I12" i="7"/>
  <c r="I13" i="7"/>
  <c r="I14" i="7"/>
  <c r="I15" i="7"/>
  <c r="I16" i="7"/>
  <c r="I17" i="7"/>
  <c r="I18" i="7"/>
  <c r="I9" i="7"/>
  <c r="H10" i="7"/>
  <c r="H11" i="7"/>
  <c r="H12" i="7"/>
  <c r="H13" i="7"/>
  <c r="H14" i="7"/>
  <c r="H15" i="7"/>
  <c r="H16" i="7"/>
  <c r="H17" i="7"/>
  <c r="H18" i="7"/>
  <c r="H9" i="7"/>
  <c r="G10" i="7"/>
  <c r="G11" i="7"/>
  <c r="G12" i="7"/>
  <c r="G13" i="7"/>
  <c r="G14" i="7"/>
  <c r="G15" i="7"/>
  <c r="G16" i="7"/>
  <c r="G17" i="7"/>
  <c r="G18" i="7"/>
  <c r="G9" i="7"/>
  <c r="F10" i="7"/>
  <c r="F11" i="7"/>
  <c r="F12" i="7"/>
  <c r="F13" i="7"/>
  <c r="F14" i="7"/>
  <c r="F15" i="7"/>
  <c r="F16" i="7"/>
  <c r="F17" i="7"/>
  <c r="F18" i="7"/>
  <c r="F9" i="7"/>
  <c r="E10" i="7"/>
  <c r="E11" i="7"/>
  <c r="E12" i="7"/>
  <c r="E13" i="7"/>
  <c r="E14" i="7"/>
  <c r="E15" i="7"/>
  <c r="E16" i="7"/>
  <c r="E17" i="7"/>
  <c r="E18" i="7"/>
  <c r="E9" i="7"/>
  <c r="D10" i="7"/>
  <c r="D11" i="7"/>
  <c r="D12" i="7"/>
  <c r="D13" i="7"/>
  <c r="D14" i="7"/>
  <c r="D15" i="7"/>
  <c r="D16" i="7"/>
  <c r="D17" i="7"/>
  <c r="D18" i="7"/>
  <c r="D9" i="7"/>
  <c r="C10" i="7"/>
  <c r="C11" i="7"/>
  <c r="C12" i="7"/>
  <c r="C13" i="7"/>
  <c r="C14" i="7"/>
  <c r="C15" i="7"/>
  <c r="C16" i="7"/>
  <c r="C17" i="7"/>
  <c r="C18" i="7"/>
  <c r="C9" i="7"/>
  <c r="B10" i="7"/>
  <c r="B11" i="7"/>
  <c r="B12" i="7"/>
  <c r="B13" i="7"/>
  <c r="B14" i="7"/>
  <c r="B15" i="7"/>
  <c r="B16" i="7"/>
  <c r="B17" i="7"/>
  <c r="B18" i="7"/>
  <c r="B9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<sst xmlns="http://schemas.openxmlformats.org/spreadsheetml/2006/main" count="54" uniqueCount="52">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</sst>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0" fontId="0" fillId="0" borderId="0" xfId="0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B4" sqref="B4"/>
    </sheetView>
  </sheetViews>
  <sheetFormatPr defaultColWidth="8.85546875" defaultRowHeight="18" x14ac:dyDescent="0.25"/>
  <cols>
    <col min="1" max="1" width="14.28515625" style="3" bestFit="1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6" t="s">
        <v>30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>
        <f>IF(A4&gt;=3,A4*2.9,A4*3.2)</f>
        <v>3.2</v>
      </c>
    </row>
    <row r="5" spans="1:22" x14ac:dyDescent="0.25">
      <c r="A5" s="4">
        <v>2</v>
      </c>
      <c r="B5" s="24">
        <f t="shared" ref="B5:B7" si="0">IF(A5&gt;=3,A5*2.9,A5*3.2)</f>
        <v>6.4</v>
      </c>
    </row>
    <row r="6" spans="1:22" x14ac:dyDescent="0.25">
      <c r="A6" s="4">
        <v>3</v>
      </c>
      <c r="B6" s="24">
        <f t="shared" si="0"/>
        <v>8.6999999999999993</v>
      </c>
    </row>
    <row r="7" spans="1:22" x14ac:dyDescent="0.25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D9" sqref="D9"/>
    </sheetView>
  </sheetViews>
  <sheetFormatPr defaultRowHeight="15" x14ac:dyDescent="0.25"/>
  <cols>
    <col min="1" max="1" width="7.42578125" bestFit="1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8" t="s">
        <v>50</v>
      </c>
      <c r="B2" s="38"/>
      <c r="C2" s="38"/>
      <c r="D2" s="38"/>
      <c r="E2" s="38"/>
      <c r="F2" s="38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9" t="s">
        <v>51</v>
      </c>
      <c r="B3" s="39"/>
      <c r="C3" s="39"/>
      <c r="D3" s="39"/>
      <c r="E3" s="39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9" t="s">
        <v>36</v>
      </c>
      <c r="B4" s="39"/>
      <c r="C4" s="39"/>
      <c r="D4" s="39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0" t="s">
        <v>37</v>
      </c>
      <c r="B5" s="40"/>
      <c r="C5" s="40"/>
      <c r="D5" s="40"/>
      <c r="E5" s="40"/>
      <c r="F5" s="40"/>
      <c r="G5" s="40"/>
      <c r="H5" s="40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>
        <f>SQRT(A9^2+$B$8^2-2*A9*$B$8*COS(RADIANS(24)))</f>
        <v>1.160094034735804</v>
      </c>
      <c r="C9" s="31">
        <f>SQRT($A9^2+$C$8^2-2*$A9*$C$8*COS(RADIANS(24)))</f>
        <v>1.4273943072216553</v>
      </c>
      <c r="D9" s="31">
        <f>SQRT($A9^2+$D$8^2-2*$A9*$D$8*COS(RADIANS(24)))</f>
        <v>3.275529094230119</v>
      </c>
      <c r="E9" s="31">
        <f>SQRT($A9^2+$E$8^2-2*$A9*$E$8*COS(RADIANS(24)))</f>
        <v>5.2364804197100918</v>
      </c>
      <c r="F9" s="31">
        <f>SQRT($A9^2+$F$8^2-2*$A9*$F$8*COS(RADIANS(24)))</f>
        <v>7.2188893553555982</v>
      </c>
      <c r="G9" s="31">
        <f>SQRT($A9^2+$G$8^2-2*$A9*$G$8*COS(RADIANS(24)))</f>
        <v>9.2089087227383004</v>
      </c>
      <c r="H9" s="31">
        <f>SQRT($A9^2+$H$8^2-2*$A9*$H$8*COS(RADIANS(24)))</f>
        <v>11.202483483700602</v>
      </c>
      <c r="I9" s="31">
        <f>SQRT($A9^2+$I$8^2-2*$A9*$I$8*COS(RADIANS(24)))</f>
        <v>13.198002596659993</v>
      </c>
      <c r="J9" s="31">
        <f>SQRT($A9^2+$J$8^2-2*$A9*$J$8*COS(RADIANS(24)))</f>
        <v>15.194700026005881</v>
      </c>
      <c r="K9" s="31">
        <f>SQRT($A9^2+$K$8^2-2*$A9*$K$8*COS(RADIANS(24)))</f>
        <v>17.192165227776353</v>
      </c>
    </row>
    <row r="10" spans="1:13" x14ac:dyDescent="0.25">
      <c r="A10" s="28">
        <v>4</v>
      </c>
      <c r="B10" s="31">
        <f t="shared" ref="B10:B18" si="0">SQRT(A10^2+$B$8^2-2*A10*$B$8*COS(RADIANS(24)))</f>
        <v>3.1131393060477062</v>
      </c>
      <c r="C10" s="31">
        <f t="shared" ref="C10:C18" si="1">SQRT($A10^2+$C$8^2-2*$A10*$C$8*COS(RADIANS(24)))</f>
        <v>1.7535418491092758</v>
      </c>
      <c r="D10" s="31">
        <f t="shared" ref="D10:D18" si="2">SQRT($A10^2+$D$8^2-2*$A10*$D$8*COS(RADIANS(24)))</f>
        <v>2.1114406679554047</v>
      </c>
      <c r="E10" s="31">
        <f t="shared" ref="E10:E18" si="3">SQRT($A10^2+$E$8^2-2*$A10*$E$8*COS(RADIANS(24)))</f>
        <v>3.7204105112224317</v>
      </c>
      <c r="F10" s="31">
        <f t="shared" ref="F10:F18" si="4">SQRT($A10^2+$F$8^2-2*$A10*$F$8*COS(RADIANS(24)))</f>
        <v>5.5879090051407188</v>
      </c>
      <c r="G10" s="31">
        <f t="shared" ref="G10:G18" si="5">SQRT($A10^2+$G$8^2-2*$A10*$G$8*COS(RADIANS(24)))</f>
        <v>7.5238287944005693</v>
      </c>
      <c r="H10" s="31">
        <f t="shared" ref="H10:H18" si="6">SQRT($A10^2+$H$8^2-2*$A10*$H$8*COS(RADIANS(24)))</f>
        <v>9.4863729847170521</v>
      </c>
      <c r="I10" s="31">
        <f t="shared" ref="I10:I18" si="7">SQRT($A10^2+$I$8^2-2*$A10*$I$8*COS(RADIANS(24)))</f>
        <v>11.461873541567622</v>
      </c>
      <c r="J10" s="31">
        <f t="shared" ref="J10:J18" si="8">SQRT($A10^2+$J$8^2-2*$A10*$J$8*COS(RADIANS(24)))</f>
        <v>13.444620402250347</v>
      </c>
      <c r="K10" s="31">
        <f t="shared" ref="K10:K18" si="9">SQRT($A10^2+$K$8^2-2*$A10*$K$8*COS(RADIANS(24)))</f>
        <v>15.431820710412776</v>
      </c>
    </row>
    <row r="11" spans="1:13" x14ac:dyDescent="0.25">
      <c r="A11" s="28">
        <v>6</v>
      </c>
      <c r="B11" s="31">
        <f t="shared" si="0"/>
        <v>5.1026909085588157</v>
      </c>
      <c r="C11" s="31">
        <f t="shared" si="1"/>
        <v>3.4802821042074115</v>
      </c>
      <c r="D11" s="31">
        <f t="shared" si="2"/>
        <v>2.487422871456308</v>
      </c>
      <c r="E11" s="31">
        <f t="shared" si="3"/>
        <v>2.8744010781415881</v>
      </c>
      <c r="F11" s="31">
        <f t="shared" si="4"/>
        <v>4.2821829216649654</v>
      </c>
      <c r="G11" s="31">
        <f t="shared" si="5"/>
        <v>6.0342356260902408</v>
      </c>
      <c r="H11" s="31">
        <f t="shared" si="6"/>
        <v>7.9048661347143794</v>
      </c>
      <c r="I11" s="31">
        <f t="shared" si="7"/>
        <v>9.8265872826903564</v>
      </c>
      <c r="J11" s="31">
        <f t="shared" si="8"/>
        <v>11.774409821341765</v>
      </c>
      <c r="K11" s="31">
        <f t="shared" si="9"/>
        <v>13.737235371700049</v>
      </c>
    </row>
    <row r="12" spans="1:13" x14ac:dyDescent="0.25">
      <c r="A12" s="28">
        <v>8</v>
      </c>
      <c r="B12" s="31">
        <f t="shared" si="0"/>
        <v>7.0981175446535394</v>
      </c>
      <c r="C12" s="31">
        <f t="shared" si="1"/>
        <v>5.39905714297924</v>
      </c>
      <c r="D12" s="31">
        <f t="shared" si="2"/>
        <v>3.9895317254775571</v>
      </c>
      <c r="E12" s="31">
        <f t="shared" si="3"/>
        <v>3.2684719279854169</v>
      </c>
      <c r="F12" s="31">
        <f t="shared" si="4"/>
        <v>3.6673497378168705</v>
      </c>
      <c r="G12" s="31">
        <f t="shared" si="5"/>
        <v>4.9209754576610374</v>
      </c>
      <c r="H12" s="31">
        <f t="shared" si="6"/>
        <v>6.5561074434712419</v>
      </c>
      <c r="I12" s="31">
        <f t="shared" si="7"/>
        <v>8.3515920737171889</v>
      </c>
      <c r="J12" s="31">
        <f t="shared" si="8"/>
        <v>10.223288879867015</v>
      </c>
      <c r="K12" s="31">
        <f t="shared" si="9"/>
        <v>12.1359870169941</v>
      </c>
    </row>
    <row r="13" spans="1:13" x14ac:dyDescent="0.25">
      <c r="A13" s="28">
        <v>10</v>
      </c>
      <c r="B13" s="31">
        <f t="shared" si="0"/>
        <v>9.095553355741913</v>
      </c>
      <c r="C13" s="31">
        <f t="shared" si="1"/>
        <v>7.3612004823563897</v>
      </c>
      <c r="D13" s="31">
        <f t="shared" si="2"/>
        <v>5.8004701736790203</v>
      </c>
      <c r="E13" s="31">
        <f t="shared" si="3"/>
        <v>4.5938693853913479</v>
      </c>
      <c r="F13" s="31">
        <f t="shared" si="4"/>
        <v>4.0696213121532372</v>
      </c>
      <c r="G13" s="31">
        <f t="shared" si="5"/>
        <v>4.4743713880977527</v>
      </c>
      <c r="H13" s="31">
        <f t="shared" si="6"/>
        <v>5.6105419535837875</v>
      </c>
      <c r="I13" s="31">
        <f t="shared" si="7"/>
        <v>7.1369715361082786</v>
      </c>
      <c r="J13" s="31">
        <f t="shared" si="8"/>
        <v>8.8540693695902171</v>
      </c>
      <c r="K13" s="31">
        <f t="shared" si="9"/>
        <v>10.67017929070602</v>
      </c>
    </row>
    <row r="14" spans="1:13" x14ac:dyDescent="0.25">
      <c r="A14" s="28">
        <v>12</v>
      </c>
      <c r="B14" s="31">
        <f t="shared" si="0"/>
        <v>11.093913151660129</v>
      </c>
      <c r="C14" s="31">
        <f t="shared" si="1"/>
        <v>9.3394179181431181</v>
      </c>
      <c r="D14" s="31">
        <f t="shared" si="2"/>
        <v>7.7054879847345097</v>
      </c>
      <c r="E14" s="31">
        <f t="shared" si="3"/>
        <v>6.2868404716553012</v>
      </c>
      <c r="F14" s="31">
        <f t="shared" si="4"/>
        <v>5.2606255473278276</v>
      </c>
      <c r="G14" s="31">
        <f t="shared" si="5"/>
        <v>4.8809834236917213</v>
      </c>
      <c r="H14" s="31">
        <f t="shared" si="6"/>
        <v>5.2890280029045522</v>
      </c>
      <c r="I14" s="31">
        <f t="shared" si="7"/>
        <v>6.3343220038662125</v>
      </c>
      <c r="J14" s="31">
        <f t="shared" si="8"/>
        <v>7.7635979598262832</v>
      </c>
      <c r="K14" s="31">
        <f t="shared" si="9"/>
        <v>9.4033648932163629</v>
      </c>
    </row>
    <row r="15" spans="1:13" x14ac:dyDescent="0.25">
      <c r="A15" s="28">
        <v>14</v>
      </c>
      <c r="B15" s="31">
        <f t="shared" si="0"/>
        <v>13.092773853771675</v>
      </c>
      <c r="C15" s="31">
        <f t="shared" si="1"/>
        <v>11.325289469060891</v>
      </c>
      <c r="D15" s="31">
        <f t="shared" si="2"/>
        <v>9.649022537544198</v>
      </c>
      <c r="E15" s="31">
        <f t="shared" si="3"/>
        <v>8.1206582431506273</v>
      </c>
      <c r="F15" s="31">
        <f t="shared" si="4"/>
        <v>6.8400690547731005</v>
      </c>
      <c r="G15" s="31">
        <f t="shared" si="5"/>
        <v>5.9689194203037212</v>
      </c>
      <c r="H15" s="31">
        <f t="shared" si="6"/>
        <v>5.6981973832163169</v>
      </c>
      <c r="I15" s="31">
        <f t="shared" si="7"/>
        <v>6.1082655304192244</v>
      </c>
      <c r="J15" s="31">
        <f t="shared" si="8"/>
        <v>7.0818332486808782</v>
      </c>
      <c r="K15" s="31">
        <f t="shared" si="9"/>
        <v>8.4257828439935682</v>
      </c>
    </row>
    <row r="16" spans="1:13" x14ac:dyDescent="0.25">
      <c r="A16" s="28">
        <v>16</v>
      </c>
      <c r="B16" s="31">
        <f t="shared" si="0"/>
        <v>15.091936434912412</v>
      </c>
      <c r="C16" s="31">
        <f t="shared" si="1"/>
        <v>13.315390946807019</v>
      </c>
      <c r="D16" s="31">
        <f t="shared" si="2"/>
        <v>11.611749514056177</v>
      </c>
      <c r="E16" s="31">
        <f t="shared" si="3"/>
        <v>10.01827417712539</v>
      </c>
      <c r="F16" s="31">
        <f t="shared" si="4"/>
        <v>8.5964474173306584</v>
      </c>
      <c r="G16" s="31">
        <f t="shared" si="5"/>
        <v>7.4452668796897079</v>
      </c>
      <c r="H16" s="31">
        <f t="shared" si="6"/>
        <v>6.7056013615989762</v>
      </c>
      <c r="I16" s="31">
        <f t="shared" si="7"/>
        <v>6.5190628415096263</v>
      </c>
      <c r="J16" s="31">
        <f t="shared" si="8"/>
        <v>6.930459655926521</v>
      </c>
      <c r="K16" s="31">
        <f t="shared" si="9"/>
        <v>7.8462960531258776</v>
      </c>
    </row>
    <row r="17" spans="1:11" x14ac:dyDescent="0.25">
      <c r="A17" s="28">
        <v>18</v>
      </c>
      <c r="B17" s="31">
        <f t="shared" si="0"/>
        <v>17.091294963368526</v>
      </c>
      <c r="C17" s="31">
        <f t="shared" si="1"/>
        <v>15.308072725676446</v>
      </c>
      <c r="D17" s="31">
        <f t="shared" si="2"/>
        <v>13.585353054828271</v>
      </c>
      <c r="E17" s="31">
        <f t="shared" si="3"/>
        <v>11.949332394492362</v>
      </c>
      <c r="F17" s="31">
        <f t="shared" si="4"/>
        <v>10.440846312622236</v>
      </c>
      <c r="G17" s="31">
        <f t="shared" si="5"/>
        <v>9.1233765007002798</v>
      </c>
      <c r="H17" s="31">
        <f t="shared" si="6"/>
        <v>8.0907802975524437</v>
      </c>
      <c r="I17" s="31">
        <f t="shared" si="7"/>
        <v>7.4622686143689263</v>
      </c>
      <c r="J17" s="31">
        <f t="shared" si="8"/>
        <v>7.3423552027076626</v>
      </c>
      <c r="K17" s="31">
        <f t="shared" si="9"/>
        <v>7.7546700105459649</v>
      </c>
    </row>
    <row r="18" spans="1:11" x14ac:dyDescent="0.25">
      <c r="A18" s="28">
        <v>20</v>
      </c>
      <c r="B18" s="31">
        <f t="shared" si="0"/>
        <v>19.090787875158426</v>
      </c>
      <c r="C18" s="31">
        <f t="shared" si="1"/>
        <v>17.302443326966511</v>
      </c>
      <c r="D18" s="31">
        <f t="shared" si="2"/>
        <v>15.565696530238531</v>
      </c>
      <c r="E18" s="31">
        <f t="shared" si="3"/>
        <v>13.899901865123788</v>
      </c>
      <c r="F18" s="31">
        <f t="shared" si="4"/>
        <v>12.333841058188794</v>
      </c>
      <c r="G18" s="31">
        <f t="shared" si="5"/>
        <v>10.910545295137894</v>
      </c>
      <c r="H18" s="31">
        <f t="shared" si="6"/>
        <v>9.6931089969032929</v>
      </c>
      <c r="I18" s="31">
        <f t="shared" si="7"/>
        <v>8.7677092455463832</v>
      </c>
      <c r="J18" s="31">
        <f t="shared" si="8"/>
        <v>8.2334129498666222</v>
      </c>
      <c r="K18" s="31">
        <f t="shared" si="9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6" sqref="G6"/>
    </sheetView>
  </sheetViews>
  <sheetFormatPr defaultColWidth="8.85546875" defaultRowHeight="18" x14ac:dyDescent="0.25"/>
  <cols>
    <col min="1" max="3" width="8.85546875" style="6"/>
    <col min="4" max="4" width="13.5703125" style="6" bestFit="1" customWidth="1"/>
    <col min="5" max="5" width="10.85546875" style="6" customWidth="1"/>
    <col min="6" max="6" width="13.5703125" style="6" bestFit="1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6" t="s">
        <v>32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x14ac:dyDescent="0.25">
      <c r="A3" s="41" t="s">
        <v>20</v>
      </c>
      <c r="B3" s="42"/>
      <c r="C3" s="43"/>
      <c r="D3" s="41" t="s">
        <v>22</v>
      </c>
      <c r="E3" s="42"/>
      <c r="F3" s="43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str">
        <f>IF(A5+B5&gt;C5, "Patiess", "Nepatiess")</f>
        <v>Patiess</v>
      </c>
      <c r="E5" s="22" t="str">
        <f>IF(A5+C5&gt;B5, "Patiess", "Nepatiess")</f>
        <v>Patiess</v>
      </c>
      <c r="F5" s="22" t="str">
        <f>IF(B5+C5&gt;A6, "Patiess", "Nepatiess")</f>
        <v>Patiess</v>
      </c>
      <c r="G5" s="23" t="str">
        <f>IF(AND(D5="Patiess",E5="Patiess",F5="Patiess"), "Jā", "Nē")</f>
        <v>Jā</v>
      </c>
    </row>
    <row r="6" spans="1:22" x14ac:dyDescent="0.25">
      <c r="A6" s="8">
        <v>4</v>
      </c>
      <c r="B6" s="8">
        <v>2</v>
      </c>
      <c r="C6" s="8">
        <v>2</v>
      </c>
      <c r="D6" s="22" t="str">
        <f t="shared" ref="D6:D8" si="0">IF(A6+B6&gt;C6, "Patiess", "Nepatiess")</f>
        <v>Patiess</v>
      </c>
      <c r="E6" s="22" t="str">
        <f t="shared" ref="E6:E8" si="1">IF(A6+C6&gt;B6, "Patiess", "Nepatiess")</f>
        <v>Patiess</v>
      </c>
      <c r="F6" s="22" t="str">
        <f t="shared" ref="F6:F8" si="2">IF(B6+C6&gt;A7, "Patiess", "Nepatiess")</f>
        <v>Patiess</v>
      </c>
      <c r="G6" s="23" t="str">
        <f t="shared" ref="G6:G7" si="3">IF(AND(D6="Patiess",E6="Patiess",F6="Patiess"), "Jā", "Nē")</f>
        <v>Jā</v>
      </c>
    </row>
    <row r="7" spans="1:22" x14ac:dyDescent="0.25">
      <c r="A7" s="8">
        <v>1</v>
      </c>
      <c r="B7" s="8">
        <v>2</v>
      </c>
      <c r="C7" s="8">
        <v>3</v>
      </c>
      <c r="D7" s="22" t="str">
        <f t="shared" si="0"/>
        <v>Nepatiess</v>
      </c>
      <c r="E7" s="22" t="str">
        <f t="shared" si="1"/>
        <v>Patiess</v>
      </c>
      <c r="F7" s="22" t="str">
        <f t="shared" si="2"/>
        <v>Nepatiess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 t="str">
        <f t="shared" si="0"/>
        <v>Patiess</v>
      </c>
      <c r="E8" s="22" t="str">
        <f t="shared" si="1"/>
        <v>Patiess</v>
      </c>
      <c r="F8" s="22" t="str">
        <f t="shared" si="2"/>
        <v>Patiess</v>
      </c>
      <c r="G8" s="23" t="str">
        <f>IF(AND(D8="Patiess",E8="Patiess",F8="Patiess"), "Jā", "Nē")</f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E4" sqref="E4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6" t="s">
        <v>33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IF(vārdi!B4&lt;=4,A4,D4)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>IF(vārdi!B5&lt;=4,A5,D5)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>IF(vārdi!B6&lt;=4,A6,D6)</f>
        <v>Jāni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>IF(vārdi!B7&lt;=4,A7,D7)</f>
        <v>Mārtiņ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>IF(vārdi!B8&lt;=4,A8,D8)</f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>IF(vārdi!B9&lt;=4,A9,D9)</f>
        <v>Sandi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>IF(vārdi!B10&lt;=4,A10,D10)</f>
        <v>Dāvi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>IF(vārdi!B11&lt;=4,A11,D11)</f>
        <v>Kārli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>IF(vārdi!B12&lt;=4,A12,D12)</f>
        <v>Markus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>IF(vārdi!B13&lt;=4,A13,D13)</f>
        <v>Mārci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>IF(vārdi!B14&lt;=4,A14,D14)</f>
        <v>Miku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>IF(vārdi!B15&lt;=4,A15,D15)</f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tabSelected="1" workbookViewId="0">
      <selection activeCell="B30" sqref="B30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6" t="s">
        <v>34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/>
    </row>
    <row r="5" spans="1:22" x14ac:dyDescent="0.25">
      <c r="A5" s="8">
        <v>1</v>
      </c>
      <c r="B5" s="23"/>
    </row>
    <row r="6" spans="1:22" x14ac:dyDescent="0.25">
      <c r="A6" s="8">
        <v>2</v>
      </c>
      <c r="B6" s="23"/>
    </row>
    <row r="7" spans="1:22" x14ac:dyDescent="0.25">
      <c r="A7" s="8">
        <v>9</v>
      </c>
      <c r="B7" s="23"/>
    </row>
    <row r="8" spans="1:22" x14ac:dyDescent="0.25">
      <c r="A8" s="8">
        <v>10</v>
      </c>
      <c r="B8" s="23"/>
    </row>
    <row r="9" spans="1:22" x14ac:dyDescent="0.25">
      <c r="A9" s="8">
        <v>11</v>
      </c>
      <c r="B9" s="23"/>
    </row>
    <row r="10" spans="1:22" x14ac:dyDescent="0.25">
      <c r="A10" s="8">
        <v>12</v>
      </c>
      <c r="B10" s="23"/>
    </row>
    <row r="11" spans="1:22" x14ac:dyDescent="0.25">
      <c r="A11" s="8">
        <v>21</v>
      </c>
      <c r="B11" s="23"/>
    </row>
    <row r="12" spans="1:22" x14ac:dyDescent="0.25">
      <c r="A12" s="8">
        <v>99</v>
      </c>
      <c r="B12" s="23"/>
    </row>
    <row r="13" spans="1:22" x14ac:dyDescent="0.25">
      <c r="A13" s="8">
        <v>91</v>
      </c>
      <c r="B13" s="23"/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/>
  </sheetViews>
  <sheetFormatPr defaultRowHeight="15" x14ac:dyDescent="0.25"/>
  <cols>
    <col min="1" max="1" width="26.85546875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6" t="s">
        <v>49</v>
      </c>
      <c r="B3" s="46"/>
      <c r="C3" s="46"/>
      <c r="D3" s="46"/>
      <c r="E3" s="46"/>
      <c r="F3" s="46"/>
      <c r="G3" s="46"/>
      <c r="H3" s="46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1"/>
    </row>
    <row r="8" spans="1:8" ht="18" customHeight="1" x14ac:dyDescent="0.25">
      <c r="A8" s="44" t="s">
        <v>46</v>
      </c>
      <c r="B8" s="44"/>
      <c r="C8" s="44"/>
      <c r="F8" s="31"/>
    </row>
    <row r="9" spans="1:8" ht="18" customHeight="1" x14ac:dyDescent="0.25"/>
    <row r="10" spans="1:8" ht="18" customHeight="1" x14ac:dyDescent="0.25">
      <c r="A10" s="44" t="s">
        <v>45</v>
      </c>
      <c r="B10" s="44"/>
      <c r="C10" s="44"/>
    </row>
    <row r="11" spans="1:8" ht="18" customHeight="1" x14ac:dyDescent="0.25">
      <c r="A11" s="44" t="s">
        <v>44</v>
      </c>
      <c r="B11" s="44"/>
      <c r="C11" s="44"/>
      <c r="F11" s="31"/>
    </row>
    <row r="12" spans="1:8" ht="18" customHeight="1" x14ac:dyDescent="0.25">
      <c r="A12" s="44" t="s">
        <v>43</v>
      </c>
      <c r="B12" s="44"/>
      <c r="C12" s="44"/>
      <c r="F12" s="31"/>
    </row>
    <row r="13" spans="1:8" ht="18" customHeight="1" x14ac:dyDescent="0.25">
      <c r="A13" s="44" t="s">
        <v>42</v>
      </c>
      <c r="B13" s="44"/>
      <c r="C13" s="44"/>
      <c r="F13" s="31"/>
    </row>
    <row r="14" spans="1:8" ht="18" customHeight="1" x14ac:dyDescent="0.25">
      <c r="A14" s="44" t="s">
        <v>41</v>
      </c>
      <c r="B14" s="44"/>
      <c r="C14" s="44"/>
      <c r="F14" s="31"/>
    </row>
    <row r="15" spans="1:8" ht="18" customHeight="1" x14ac:dyDescent="0.25">
      <c r="A15" s="44" t="s">
        <v>40</v>
      </c>
      <c r="B15" s="44"/>
      <c r="C15" s="44"/>
      <c r="D15" s="44"/>
      <c r="E15" s="45"/>
      <c r="F15" s="31"/>
    </row>
    <row r="16" spans="1:8" ht="18" customHeight="1" x14ac:dyDescent="0.25">
      <c r="A16" s="44" t="s">
        <v>39</v>
      </c>
      <c r="B16" s="44"/>
      <c r="C16" s="44"/>
      <c r="F16" s="31"/>
    </row>
    <row r="17" spans="1:3" x14ac:dyDescent="0.25">
      <c r="A17" s="35"/>
      <c r="B17" s="35"/>
      <c r="C17" s="35"/>
    </row>
    <row r="18" spans="1:3" x14ac:dyDescent="0.25">
      <c r="A18" s="35"/>
      <c r="B18" s="35"/>
      <c r="C18" s="35"/>
    </row>
    <row r="19" spans="1:3" ht="19.5" x14ac:dyDescent="0.25">
      <c r="A19" s="44"/>
      <c r="B19" s="44"/>
      <c r="C19" s="44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Magdalena</cp:lastModifiedBy>
  <dcterms:created xsi:type="dcterms:W3CDTF">2021-10-27T13:59:32Z</dcterms:created>
  <dcterms:modified xsi:type="dcterms:W3CDTF">2025-12-05T10:58:19Z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